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ceitos RadCloud" sheetId="1" state="visible" r:id="rId3"/>
    <sheet name="Fluxo integrado" sheetId="2" state="visible" r:id="rId4"/>
    <sheet name="Backlog INT" sheetId="3" state="visible" r:id="rId5"/>
    <sheet name="P0 e pendênci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<sst xmlns="http://schemas.openxmlformats.org/spreadsheetml/2006/main" count="153" uniqueCount="129">
  <si>
    <t xml:space="preserve">Conceitos divulgados pela RadCloud × VYONIX atual (29/10/2026)</t>
  </si>
  <si>
    <t xml:space="preserve">Fonte: descrição do proprietário de 6 imagens da apresentação pública (as imagens não chegaram anexadas). Classe de todos os conceitos: DECLARADO PELO FORNECEDOR. Documento: docs/ux/Fluxo_Integrado_RadCloud_VYONIX.md (d41c717).</t>
  </si>
  <si>
    <t xml:space="preserve">#</t>
  </si>
  <si>
    <t xml:space="preserve">Conceito divulgado (RadCloud)</t>
  </si>
  <si>
    <t xml:space="preserve">VYONIX hoje</t>
  </si>
  <si>
    <t xml:space="preserve">Situação</t>
  </si>
  <si>
    <t xml:space="preserve">O que falta / observação</t>
  </si>
  <si>
    <t xml:space="preserve">Integração PACS + RIS + telerradiologia</t>
  </si>
  <si>
    <t xml:space="preserve">PACS, RIS e laudos no mesmo sistema, banco e interface</t>
  </si>
  <si>
    <t xml:space="preserve">Implementado</t>
  </si>
  <si>
    <t xml:space="preserve">Melhorar a ligação entre as telas</t>
  </si>
  <si>
    <t xml:space="preserve">Envio automático de imagens DICOM</t>
  </si>
  <si>
    <t xml:space="preserve">Equipamento envia; exame liga ao paciente pelo identificador e instituição emissora (nunca pelo nome); recepção pode ser restrita a equipamentos cadastrados</t>
  </si>
  <si>
    <t xml:space="preserve">Riscos já registrados: cursor de indexação (A03-005), política no modo nuvem (A03-006)</t>
  </si>
  <si>
    <t xml:space="preserve">Laudo por radiologistas autorizados</t>
  </si>
  <si>
    <t xml:space="preserve">Fila com escopo, atribuição, prioridade, prazo, editor, revisão, liberação</t>
  </si>
  <si>
    <t xml:space="preserve">Implementado (melhorar)</t>
  </si>
  <si>
    <t xml:space="preserve">Prazo visível na fila; trava de quem lauda (A05-003); habilitação por modalidade</t>
  </si>
  <si>
    <t xml:space="preserve">Resultados online</t>
  </si>
  <si>
    <t xml:space="preserve">PDF, cópia no PACS, envio HL7/FHIR</t>
  </si>
  <si>
    <t xml:space="preserve">Parcial</t>
  </si>
  <si>
    <t xml:space="preserve">Sem entrega online a pacientes ou solicitantes</t>
  </si>
  <si>
    <t xml:space="preserve">Portal para médicos e pacientes</t>
  </si>
  <si>
    <t xml:space="preserve">Não existe</t>
  </si>
  <si>
    <t xml:space="preserve">Ausente</t>
  </si>
  <si>
    <t xml:space="preserve">Depende da avaliação de segurança, privacidade e conformidade (BLK-06)</t>
  </si>
  <si>
    <t xml:space="preserve">Gestão unificada, escala, ICP-Brasil</t>
  </si>
  <si>
    <t xml:space="preserve">Contas independentes por instituição com várias unidades; ICP-Brasil preparada no código e bloqueada</t>
  </si>
  <si>
    <t xml:space="preserve">BLK-14 (ICP-Brasil); escalabilidade não medida</t>
  </si>
  <si>
    <t xml:space="preserve">Resumo</t>
  </si>
  <si>
    <t xml:space="preserve">Quantidade</t>
  </si>
  <si>
    <t xml:space="preserve">Fluxo operacional integrado — regras por transição</t>
  </si>
  <si>
    <t xml:space="preserve">Aquisição DICOM → PACS → Identificação e conferência → Distribuição → Viewer → Laudo → Assinatura → Publicação → Portal autorizado</t>
  </si>
  <si>
    <t xml:space="preserve">Transição</t>
  </si>
  <si>
    <t xml:space="preserve">Regra de negócio / validação</t>
  </si>
  <si>
    <t xml:space="preserve">Permissão (backend)</t>
  </si>
  <si>
    <t xml:space="preserve">Aquisição → PACS</t>
  </si>
  <si>
    <t xml:space="preserve">Recepção só de equipamento cadastrado quando a política exigir; integridade SHA-256; UID conflitante recusado</t>
  </si>
  <si>
    <t xml:space="preserve">AE/IP cadastrados</t>
  </si>
  <si>
    <t xml:space="preserve">Implementado (nuvem: A03-006)</t>
  </si>
  <si>
    <t xml:space="preserve">PACS → Identificação</t>
  </si>
  <si>
    <t xml:space="preserve">Paciente por instituição emissora + identificador; pedido por número de acesso; nunca por nome</t>
  </si>
  <si>
    <t xml:space="preserve">Automático</t>
  </si>
  <si>
    <t xml:space="preserve">Conferência</t>
  </si>
  <si>
    <t xml:space="preserve">Checklist configurável; divergência vai para conciliação assistida; mescla com motivo e desfazer</t>
  </si>
  <si>
    <t xml:space="preserve">ris.exam.prepare; clinical.studies.reconcile</t>
  </si>
  <si>
    <t xml:space="preserve">Parcial (busca assistida, lote)</t>
  </si>
  <si>
    <t xml:space="preserve">Distribuição</t>
  </si>
  <si>
    <t xml:space="preserve">Prazo por prioridade; automática também sem preparo exigido; trava de autoria</t>
  </si>
  <si>
    <t xml:space="preserve">report.assign</t>
  </si>
  <si>
    <t xml:space="preserve">Precisa melhoria</t>
  </si>
  <si>
    <t xml:space="preserve">Viewer</t>
  </si>
  <si>
    <t xml:space="preserve">Escopo por vínculo configurável; auditoria por série</t>
  </si>
  <si>
    <t xml:space="preserve">pacs.studies.read</t>
  </si>
  <si>
    <t xml:space="preserve">Implementado / melhorar</t>
  </si>
  <si>
    <t xml:space="preserve">Laudo</t>
  </si>
  <si>
    <t xml:space="preserve">Bloquear abrir/editar/liberar com exame cancelado, devolvido ou não encaminhado (A05-005)</t>
  </si>
  <si>
    <t xml:space="preserve">report.write + escopo</t>
  </si>
  <si>
    <t xml:space="preserve">Precisa melhoria (P1)</t>
  </si>
  <si>
    <t xml:space="preserve">Assinatura</t>
  </si>
  <si>
    <t xml:space="preserve">Senha hoje; ICP-Brasil quando BLK-14 for decidido; imagem de assinatura nunca é assinatura digital</t>
  </si>
  <si>
    <t xml:space="preserve">report.finalize</t>
  </si>
  <si>
    <t xml:space="preserve">Parcial (BLK-14)</t>
  </si>
  <si>
    <t xml:space="preserve">Publicação</t>
  </si>
  <si>
    <t xml:space="preserve">Só laudo assinado e exame sem pendência impeditiva (cancelado, devolvido, achado crítico não comunicado)</t>
  </si>
  <si>
    <t xml:space="preserve">Regra no serviço</t>
  </si>
  <si>
    <t xml:space="preserve">A especificar (P1)</t>
  </si>
  <si>
    <t xml:space="preserve">Portal</t>
  </si>
  <si>
    <t xml:space="preserve">Só após aprovação de segurança, privacidade e conformidade; compartilhamento com validade e revogação</t>
  </si>
  <si>
    <t xml:space="preserve">Perfis novos</t>
  </si>
  <si>
    <t xml:space="preserve">Ausente (decisão)</t>
  </si>
  <si>
    <t xml:space="preserve">Backlog derivado (INT-01 a INT-08)</t>
  </si>
  <si>
    <t xml:space="preserve">Células amarelas: atualizar o estado.</t>
  </si>
  <si>
    <t xml:space="preserve">ID</t>
  </si>
  <si>
    <t xml:space="preserve">Item</t>
  </si>
  <si>
    <t xml:space="preserve">Prioridade</t>
  </si>
  <si>
    <t xml:space="preserve">Agente</t>
  </si>
  <si>
    <t xml:space="preserve">Critério de aceitação</t>
  </si>
  <si>
    <t xml:space="preserve">Estado</t>
  </si>
  <si>
    <t xml:space="preserve">INT-01</t>
  </si>
  <si>
    <t xml:space="preserve">Publicação só de laudo assinado e exame sem pendência impeditiva (inclui A05-005)</t>
  </si>
  <si>
    <t xml:space="preserve">P1</t>
  </si>
  <si>
    <t xml:space="preserve">05 + 04</t>
  </si>
  <si>
    <t xml:space="preserve">Cancelado, devolvido ou não encaminhado → recusado (409); publicação registrada na trilha</t>
  </si>
  <si>
    <t xml:space="preserve">Pendente</t>
  </si>
  <si>
    <t xml:space="preserve">INT-02</t>
  </si>
  <si>
    <t xml:space="preserve">Situação única do exame na agenda, painel do técnico e laudos; cancelamento em cascata (A05-006/007/008)</t>
  </si>
  <si>
    <t xml:space="preserve">05</t>
  </si>
  <si>
    <t xml:space="preserve">Matriz de transições testada; agenda e painel com as mesmas ações</t>
  </si>
  <si>
    <t xml:space="preserve">INT-03</t>
  </si>
  <si>
    <t xml:space="preserve">Prazo visível na fila do médico</t>
  </si>
  <si>
    <t xml:space="preserve">05 + UX</t>
  </si>
  <si>
    <t xml:space="preserve">Coluna de prazo com texto e faixa de cor; ordenação padrão por prioridade e prazo</t>
  </si>
  <si>
    <t xml:space="preserve">INT-04</t>
  </si>
  <si>
    <t xml:space="preserve">Contexto do estudo dentro do laudo e botão Devolver (UX-A-001)</t>
  </si>
  <si>
    <t xml:space="preserve">UX + 05</t>
  </si>
  <si>
    <t xml:space="preserve">Médico vê comentários, anexos e checklist e devolve com motivo</t>
  </si>
  <si>
    <t xml:space="preserve">INT-05</t>
  </si>
  <si>
    <t xml:space="preserve">Cadastrar paciente a partir do exame recebido sem pedido, com confirmação</t>
  </si>
  <si>
    <t xml:space="preserve">P2</t>
  </si>
  <si>
    <t xml:space="preserve">Sem duplicar identificador; auditado</t>
  </si>
  <si>
    <t xml:space="preserve">INT-06</t>
  </si>
  <si>
    <t xml:space="preserve">Sugestão de conciliação</t>
  </si>
  <si>
    <t xml:space="preserve">05 + 03</t>
  </si>
  <si>
    <t xml:space="preserve">Nunca associar sem confirmação humana</t>
  </si>
  <si>
    <t xml:space="preserve">INT-07</t>
  </si>
  <si>
    <t xml:space="preserve">Perfis e portais do médico solicitante e do paciente</t>
  </si>
  <si>
    <t xml:space="preserve">P2 (decisão: BLK-06)</t>
  </si>
  <si>
    <t xml:space="preserve">05 + 04 + UX</t>
  </si>
  <si>
    <t xml:space="preserve">Somente após aprovação</t>
  </si>
  <si>
    <t xml:space="preserve">Aguardando decisão</t>
  </si>
  <si>
    <t xml:space="preserve">INT-08</t>
  </si>
  <si>
    <t xml:space="preserve">Assinatura ICP-Brasil (PAdES)</t>
  </si>
  <si>
    <t xml:space="preserve">P1 após BLK-14 (decisão)</t>
  </si>
  <si>
    <t xml:space="preserve">Validação no ITI; laudo imutável</t>
  </si>
  <si>
    <t xml:space="preserve">Situação do P0 e pendências relacionadas</t>
  </si>
  <si>
    <t xml:space="preserve">Observação</t>
  </si>
  <si>
    <t xml:space="preserve">Homologação Windows (ad7434d), run 40979622943</t>
  </si>
  <si>
    <t xml:space="preserve">Aprovado</t>
  </si>
  <si>
    <t xml:space="preserve">Run concluído com sucesso</t>
  </si>
  <si>
    <t xml:space="preserve">Comercial Windows (ad7434d), run 40979557950</t>
  </si>
  <si>
    <t xml:space="preserve">Em execução</t>
  </si>
  <si>
    <t xml:space="preserve">Entrega do instalador e do kit só com aprovação</t>
  </si>
  <si>
    <t xml:space="preserve">6 imagens da RadCloud</t>
  </si>
  <si>
    <t xml:space="preserve">Não recebidas</t>
  </si>
  <si>
    <t xml:space="preserve">Só o texto chegou; reenviar para análise</t>
  </si>
  <si>
    <t xml:space="preserve">Assinatura: senha × imagem × ICP-Brasil</t>
  </si>
  <si>
    <t xml:space="preserve">Distinção já no código e nas telas</t>
  </si>
  <si>
    <t xml:space="preserve">Decisões do BLK-14: certificado A1/A3/nuvem, carimbo do tempo, validação no ITI, lote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</si>
</sst>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D56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D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20"/>
    <col collapsed="false" customWidth="true" hidden="false" outlineLevel="0" max="5" min="5" style="0" width="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4" t="s">
        <v>7</v>
      </c>
      <c r="C5" s="4" t="s">
        <v>8</v>
      </c>
      <c r="D5" s="5" t="s">
        <v>9</v>
      </c>
      <c r="E5" s="4" t="s">
        <v>10</v>
      </c>
    </row>
    <row r="6" customFormat="false" ht="35.05" hidden="false" customHeight="false" outlineLevel="0" collapsed="false">
      <c r="A6" s="4" t="n">
        <v>2</v>
      </c>
      <c r="B6" s="4" t="s">
        <v>11</v>
      </c>
      <c r="C6" s="4" t="s">
        <v>12</v>
      </c>
      <c r="D6" s="5" t="s">
        <v>9</v>
      </c>
      <c r="E6" s="4" t="s">
        <v>13</v>
      </c>
    </row>
    <row r="7" customFormat="false" ht="23.85" hidden="false" customHeight="false" outlineLevel="0" collapsed="false">
      <c r="A7" s="4" t="n">
        <v>3</v>
      </c>
      <c r="B7" s="4" t="s">
        <v>14</v>
      </c>
      <c r="C7" s="4" t="s">
        <v>15</v>
      </c>
      <c r="D7" s="5" t="s">
        <v>16</v>
      </c>
      <c r="E7" s="4" t="s">
        <v>17</v>
      </c>
    </row>
    <row r="8" customFormat="false" ht="15" hidden="false" customHeight="false" outlineLevel="0" collapsed="false">
      <c r="A8" s="4" t="n">
        <v>4</v>
      </c>
      <c r="B8" s="4" t="s">
        <v>18</v>
      </c>
      <c r="C8" s="4" t="s">
        <v>19</v>
      </c>
      <c r="D8" s="5" t="s">
        <v>20</v>
      </c>
      <c r="E8" s="4" t="s">
        <v>21</v>
      </c>
    </row>
    <row r="9" customFormat="false" ht="23.85" hidden="false" customHeight="false" outlineLevel="0" collapsed="false">
      <c r="A9" s="4" t="n">
        <v>5</v>
      </c>
      <c r="B9" s="4" t="s">
        <v>22</v>
      </c>
      <c r="C9" s="4" t="s">
        <v>23</v>
      </c>
      <c r="D9" s="5" t="s">
        <v>24</v>
      </c>
      <c r="E9" s="4" t="s">
        <v>25</v>
      </c>
    </row>
    <row r="10" customFormat="false" ht="23.85" hidden="false" customHeight="false" outlineLevel="0" collapsed="false">
      <c r="A10" s="4" t="n">
        <v>6</v>
      </c>
      <c r="B10" s="4" t="s">
        <v>26</v>
      </c>
      <c r="C10" s="4" t="s">
        <v>27</v>
      </c>
      <c r="D10" s="5" t="s">
        <v>20</v>
      </c>
      <c r="E10" s="4" t="s">
        <v>28</v>
      </c>
    </row>
    <row r="12" customFormat="false" ht="15" hidden="false" customHeight="false" outlineLevel="0" collapsed="false">
      <c r="B12" s="6" t="s">
        <v>29</v>
      </c>
    </row>
    <row r="13" customFormat="false" ht="15" hidden="false" customHeight="false" outlineLevel="0" collapsed="false">
      <c r="A13" s="3"/>
      <c r="B13" s="3" t="s">
        <v>5</v>
      </c>
      <c r="C13" s="3" t="s">
        <v>30</v>
      </c>
    </row>
    <row r="14" customFormat="false" ht="15" hidden="false" customHeight="false" outlineLevel="0" collapsed="false">
      <c r="A14" s="4"/>
      <c r="B14" s="4" t="s">
        <v>9</v>
      </c>
      <c r="C14" s="4" t="n">
        <f aca="false">COUNTIF($D$5:$D$10,B14)</f>
        <v>2</v>
      </c>
    </row>
    <row r="15" customFormat="false" ht="15" hidden="false" customHeight="false" outlineLevel="0" collapsed="false">
      <c r="A15" s="4"/>
      <c r="B15" s="4" t="s">
        <v>16</v>
      </c>
      <c r="C15" s="4" t="n">
        <f aca="false">COUNTIF($D$5:$D$10,B15)</f>
        <v>1</v>
      </c>
    </row>
    <row r="16" customFormat="false" ht="15" hidden="false" customHeight="false" outlineLevel="0" collapsed="false">
      <c r="A16" s="4"/>
      <c r="B16" s="4" t="s">
        <v>20</v>
      </c>
      <c r="C16" s="4" t="n">
        <f aca="false">COUNTIF($D$5:$D$10,B16)</f>
        <v>2</v>
      </c>
    </row>
    <row r="17" customFormat="false" ht="15" hidden="false" customHeight="false" outlineLevel="0" collapsed="false">
      <c r="A17" s="4"/>
      <c r="B17" s="4" t="s">
        <v>24</v>
      </c>
      <c r="C17" s="4" t="n">
        <f aca="false">COUNTIF($D$5:$D$10,B17)</f>
        <v>1</v>
      </c>
    </row>
  </sheetData>
  <dataValidations count="1">
    <dataValidation allowBlank="false" errorStyle="stop" operator="between" showDropDown="false" showErrorMessage="false" showInputMessage="false" sqref="D5:D10" type="list">
      <formula1>"Implementado,Implementado (melhorar),Parcial,Ausente"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28"/>
    <col collapsed="false" customWidth="true" hidden="false" outlineLevel="0" max="5" min="5" style="0" width="26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2</v>
      </c>
      <c r="B4" s="3" t="s">
        <v>33</v>
      </c>
      <c r="C4" s="3" t="s">
        <v>34</v>
      </c>
      <c r="D4" s="3" t="s">
        <v>35</v>
      </c>
      <c r="E4" s="3" t="s">
        <v>5</v>
      </c>
    </row>
    <row r="5" customFormat="false" ht="23.85" hidden="false" customHeight="false" outlineLevel="0" collapsed="false">
      <c r="A5" s="4" t="n">
        <v>1</v>
      </c>
      <c r="B5" s="4" t="s">
        <v>36</v>
      </c>
      <c r="C5" s="4" t="s">
        <v>37</v>
      </c>
      <c r="D5" s="4" t="s">
        <v>38</v>
      </c>
      <c r="E5" s="5" t="s">
        <v>39</v>
      </c>
    </row>
    <row r="6" customFormat="false" ht="23.85" hidden="false" customHeight="false" outlineLevel="0" collapsed="false">
      <c r="A6" s="4" t="n">
        <v>2</v>
      </c>
      <c r="B6" s="4" t="s">
        <v>40</v>
      </c>
      <c r="C6" s="4" t="s">
        <v>41</v>
      </c>
      <c r="D6" s="4" t="s">
        <v>42</v>
      </c>
      <c r="E6" s="5" t="s">
        <v>9</v>
      </c>
    </row>
    <row r="7" customFormat="false" ht="23.85" hidden="false" customHeight="false" outlineLevel="0" collapsed="false">
      <c r="A7" s="4" t="n">
        <v>3</v>
      </c>
      <c r="B7" s="4" t="s">
        <v>43</v>
      </c>
      <c r="C7" s="4" t="s">
        <v>44</v>
      </c>
      <c r="D7" s="4" t="s">
        <v>45</v>
      </c>
      <c r="E7" s="5" t="s">
        <v>46</v>
      </c>
    </row>
    <row r="8" customFormat="false" ht="23.85" hidden="false" customHeight="false" outlineLevel="0" collapsed="false">
      <c r="A8" s="4" t="n">
        <v>4</v>
      </c>
      <c r="B8" s="4" t="s">
        <v>47</v>
      </c>
      <c r="C8" s="4" t="s">
        <v>48</v>
      </c>
      <c r="D8" s="4" t="s">
        <v>49</v>
      </c>
      <c r="E8" s="5" t="s">
        <v>50</v>
      </c>
    </row>
    <row r="9" customFormat="false" ht="15" hidden="false" customHeight="false" outlineLevel="0" collapsed="false">
      <c r="A9" s="4" t="n">
        <v>5</v>
      </c>
      <c r="B9" s="4" t="s">
        <v>51</v>
      </c>
      <c r="C9" s="4" t="s">
        <v>52</v>
      </c>
      <c r="D9" s="4" t="s">
        <v>53</v>
      </c>
      <c r="E9" s="5" t="s">
        <v>54</v>
      </c>
    </row>
    <row r="10" customFormat="false" ht="23.85" hidden="false" customHeight="false" outlineLevel="0" collapsed="false">
      <c r="A10" s="4" t="n">
        <v>6</v>
      </c>
      <c r="B10" s="4" t="s">
        <v>55</v>
      </c>
      <c r="C10" s="4" t="s">
        <v>56</v>
      </c>
      <c r="D10" s="4" t="s">
        <v>57</v>
      </c>
      <c r="E10" s="5" t="s">
        <v>58</v>
      </c>
    </row>
    <row r="11" customFormat="false" ht="23.85" hidden="false" customHeight="false" outlineLevel="0" collapsed="false">
      <c r="A11" s="4" t="n">
        <v>7</v>
      </c>
      <c r="B11" s="4" t="s">
        <v>59</v>
      </c>
      <c r="C11" s="4" t="s">
        <v>60</v>
      </c>
      <c r="D11" s="4" t="s">
        <v>61</v>
      </c>
      <c r="E11" s="5" t="s">
        <v>62</v>
      </c>
    </row>
    <row r="12" customFormat="false" ht="23.85" hidden="false" customHeight="false" outlineLevel="0" collapsed="false">
      <c r="A12" s="4" t="n">
        <v>8</v>
      </c>
      <c r="B12" s="4" t="s">
        <v>63</v>
      </c>
      <c r="C12" s="4" t="s">
        <v>64</v>
      </c>
      <c r="D12" s="4" t="s">
        <v>65</v>
      </c>
      <c r="E12" s="5" t="s">
        <v>66</v>
      </c>
    </row>
    <row r="13" customFormat="false" ht="23.85" hidden="false" customHeight="false" outlineLevel="0" collapsed="false">
      <c r="A13" s="4" t="n">
        <v>9</v>
      </c>
      <c r="B13" s="4" t="s">
        <v>67</v>
      </c>
      <c r="C13" s="4" t="s">
        <v>68</v>
      </c>
      <c r="D13" s="4" t="s">
        <v>69</v>
      </c>
      <c r="E13" s="5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52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</row>
    <row r="5" customFormat="false" ht="23.85" hidden="false" customHeight="false" outlineLevel="0" collapsed="false">
      <c r="A5" s="4" t="s">
        <v>79</v>
      </c>
      <c r="B5" s="4" t="s">
        <v>80</v>
      </c>
      <c r="C5" s="4" t="s">
        <v>81</v>
      </c>
      <c r="D5" s="4" t="s">
        <v>82</v>
      </c>
      <c r="E5" s="4" t="s">
        <v>83</v>
      </c>
      <c r="F5" s="5" t="s">
        <v>84</v>
      </c>
    </row>
    <row r="6" customFormat="false" ht="23.85" hidden="false" customHeight="false" outlineLevel="0" collapsed="false">
      <c r="A6" s="4" t="s">
        <v>85</v>
      </c>
      <c r="B6" s="4" t="s">
        <v>86</v>
      </c>
      <c r="C6" s="4" t="s">
        <v>81</v>
      </c>
      <c r="D6" s="4" t="s">
        <v>87</v>
      </c>
      <c r="E6" s="4" t="s">
        <v>88</v>
      </c>
      <c r="F6" s="5" t="s">
        <v>84</v>
      </c>
    </row>
    <row r="7" customFormat="false" ht="23.85" hidden="false" customHeight="false" outlineLevel="0" collapsed="false">
      <c r="A7" s="4" t="s">
        <v>89</v>
      </c>
      <c r="B7" s="4" t="s">
        <v>90</v>
      </c>
      <c r="C7" s="4" t="s">
        <v>81</v>
      </c>
      <c r="D7" s="4" t="s">
        <v>91</v>
      </c>
      <c r="E7" s="4" t="s">
        <v>92</v>
      </c>
      <c r="F7" s="5" t="s">
        <v>84</v>
      </c>
    </row>
    <row r="8" customFormat="false" ht="23.85" hidden="false" customHeight="false" outlineLevel="0" collapsed="false">
      <c r="A8" s="4" t="s">
        <v>93</v>
      </c>
      <c r="B8" s="4" t="s">
        <v>94</v>
      </c>
      <c r="C8" s="4" t="s">
        <v>81</v>
      </c>
      <c r="D8" s="4" t="s">
        <v>95</v>
      </c>
      <c r="E8" s="4" t="s">
        <v>96</v>
      </c>
      <c r="F8" s="5" t="s">
        <v>84</v>
      </c>
    </row>
    <row r="9" customFormat="false" ht="23.85" hidden="false" customHeight="false" outlineLevel="0" collapsed="false">
      <c r="A9" s="4" t="s">
        <v>97</v>
      </c>
      <c r="B9" s="4" t="s">
        <v>98</v>
      </c>
      <c r="C9" s="4" t="s">
        <v>99</v>
      </c>
      <c r="D9" s="4" t="s">
        <v>87</v>
      </c>
      <c r="E9" s="4" t="s">
        <v>100</v>
      </c>
      <c r="F9" s="5" t="s">
        <v>84</v>
      </c>
    </row>
    <row r="10" customFormat="false" ht="15" hidden="false" customHeight="false" outlineLevel="0" collapsed="false">
      <c r="A10" s="4" t="s">
        <v>101</v>
      </c>
      <c r="B10" s="4" t="s">
        <v>102</v>
      </c>
      <c r="C10" s="4" t="s">
        <v>99</v>
      </c>
      <c r="D10" s="4" t="s">
        <v>103</v>
      </c>
      <c r="E10" s="4" t="s">
        <v>104</v>
      </c>
      <c r="F10" s="5" t="s">
        <v>84</v>
      </c>
    </row>
    <row r="11" customFormat="false" ht="15" hidden="false" customHeight="false" outlineLevel="0" collapsed="false">
      <c r="A11" s="4" t="s">
        <v>105</v>
      </c>
      <c r="B11" s="4" t="s">
        <v>106</v>
      </c>
      <c r="C11" s="4" t="s">
        <v>107</v>
      </c>
      <c r="D11" s="4" t="s">
        <v>108</v>
      </c>
      <c r="E11" s="4" t="s">
        <v>109</v>
      </c>
      <c r="F11" s="5" t="s">
        <v>110</v>
      </c>
    </row>
    <row r="12" customFormat="false" ht="23.85" hidden="false" customHeight="false" outlineLevel="0" collapsed="false">
      <c r="A12" s="4" t="s">
        <v>111</v>
      </c>
      <c r="B12" s="4" t="s">
        <v>112</v>
      </c>
      <c r="C12" s="4" t="s">
        <v>113</v>
      </c>
      <c r="D12" s="4" t="s">
        <v>82</v>
      </c>
      <c r="E12" s="4" t="s">
        <v>114</v>
      </c>
      <c r="F12" s="5" t="s">
        <v>110</v>
      </c>
    </row>
  </sheetData>
  <dataValidations count="1">
    <dataValidation allowBlank="false" errorStyle="stop" operator="between" showDropDown="false" showErrorMessage="false" showInputMessage="false" sqref="F5:F40" type="list">
      <formula1>"Pendente,Em andamento,Implementado,Validado,Aguardando decisão"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115</v>
      </c>
    </row>
    <row r="3" customFormat="false" ht="15" hidden="false" customHeight="false" outlineLevel="0" collapsed="false">
      <c r="A3" s="3" t="s">
        <v>74</v>
      </c>
      <c r="B3" s="3" t="s">
        <v>5</v>
      </c>
      <c r="C3" s="3" t="s">
        <v>116</v>
      </c>
    </row>
    <row r="4" customFormat="false" ht="15" hidden="false" customHeight="false" outlineLevel="0" collapsed="false">
      <c r="A4" s="4" t="s">
        <v>117</v>
      </c>
      <c r="B4" s="5" t="s">
        <v>118</v>
      </c>
      <c r="C4" s="4" t="s">
        <v>119</v>
      </c>
    </row>
    <row r="5" customFormat="false" ht="15" hidden="false" customHeight="false" outlineLevel="0" collapsed="false">
      <c r="A5" s="4" t="s">
        <v>120</v>
      </c>
      <c r="B5" s="5" t="s">
        <v>121</v>
      </c>
      <c r="C5" s="4" t="s">
        <v>122</v>
      </c>
    </row>
    <row r="6" customFormat="false" ht="15" hidden="false" customHeight="false" outlineLevel="0" collapsed="false">
      <c r="A6" s="4" t="s">
        <v>123</v>
      </c>
      <c r="B6" s="5" t="s">
        <v>124</v>
      </c>
      <c r="C6" s="4" t="s">
        <v>125</v>
      </c>
    </row>
    <row r="7" customFormat="false" ht="23.85" hidden="false" customHeight="false" outlineLevel="0" collapsed="false">
      <c r="A7" s="4" t="s">
        <v>126</v>
      </c>
      <c r="B7" s="5" t="s">
        <v>127</v>
      </c>
      <c r="C7" s="4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2026-10-30T01:00:27Z</dcterms:created>
  <dc:creator>openpyxl</dc:creator>
  <dc:description/>
  <dc:language>en-US</dc:language>
  <cp:lastModifiedBy/>
  <dcterms:modified xsi:type="dcterms:W3CDTF">2026-10-30T01:00:27Z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
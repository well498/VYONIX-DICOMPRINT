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sitos P0" sheetId="1" state="visible" r:id="rId3"/>
    <sheet name="Execuções Windows" sheetId="2" state="visible" r:id="rId4"/>
    <sheet name="Próximos pass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<sst xmlns="http://schemas.openxmlformats.org/spreadsheetml/2006/main" count="142" uniqueCount="90">
  <si>
    <t xml:space="preserve">VYONIX — P0: requisitos e situação (atualizado em 2026-10-29 21:40)</t>
  </si>
  <si>
    <t xml:space="preserve">Commit da implementação: ad7434d (P0) · c725108 (segurança) (ramo develop). Teste local ≠ CI Windows ≠ validação no computador do proprietário. Nada é marcado como aprovado sem execução. Células amarelas: atualizar.</t>
  </si>
  <si>
    <t xml:space="preserve">#</t>
  </si>
  <si>
    <t xml:space="preserve">Requisito</t>
  </si>
  <si>
    <t xml:space="preserve">O que mudou</t>
  </si>
  <si>
    <t xml:space="preserve">Testes locais</t>
  </si>
  <si>
    <t xml:space="preserve">CI Windows</t>
  </si>
  <si>
    <t xml:space="preserve">Validação no computador do proprietário</t>
  </si>
  <si>
    <t xml:space="preserve">Evidência</t>
  </si>
  <si>
    <t xml:space="preserve">Data da validação</t>
  </si>
  <si>
    <t xml:space="preserve">Desinstalador não encerra a si mesmo nem a cópia temporária</t>
  </si>
  <si>
    <t xml:space="preserve">Exclui unins* do fechamento de processos; a cópia temporária (_iu*.tmp) fica em %TEMP%, fora da pasta do programa</t>
  </si>
  <si>
    <t xml:space="preserve">Aprovado</t>
  </si>
  <si>
    <t xml:space="preserve">Não executado</t>
  </si>
  <si>
    <t xml:space="preserve">Pendente</t>
  </si>
  <si>
    <t xml:space="preserve">tests_deploy/test_uninstall.py::test_uninstaller_itself_is_never_killed; CI 2.12 (a executar)</t>
  </si>
  <si>
    <t xml:space="preserve">Remove somente serviços do VYONIX</t>
  </si>
  <si>
    <t xml:space="preserve">Instalador e DEPLOY só tocam um serviço se o programa dele está em Program Files\VYONIX\Platform; serviço alheio com o mesmo nome nunca é alterado; DICOM Print nunca está na lista</t>
  </si>
  <si>
    <t xml:space="preserve">tests_deploy/test_uninstall.py::Ownership (3 testes); CI 2.13 serviço alheio (a executar)</t>
  </si>
  <si>
    <t xml:space="preserve">Sem órfãos; erro quando a remoção não conclui</t>
  </si>
  <si>
    <t xml:space="preserve">Verificação final do estado real (serviços, processos, pasta) em C:\ProgramData\VYONIX\Logs\desinstalacao.json (concluída / reiniciar / incompleta); 'incompleta' registra ERRO e mostra mensagem</t>
  </si>
  <si>
    <t xml:space="preserve">test_inno_uninstaller_checks_ownership_and_final_state; CI 2.12 e homologação 15 (a executar)</t>
  </si>
  <si>
    <t xml:space="preserve">Testes sem condição de corrida</t>
  </si>
  <si>
    <t xml:space="preserve">Aguardam o fim do desinstalador e da cópia temporária e o arquivo de status; exigem 'concluída'</t>
  </si>
  <si>
    <t xml:space="preserve">tools/ci_deploy_acceptance.py e ci_homolog_acceptance.py: wait_uninstall_finished (só roda no Windows)</t>
  </si>
  <si>
    <t xml:space="preserve">Integridade além da contagem de registros</t>
  </si>
  <si>
    <t xml:space="preserve">Cópia restaurada comparada por resumo MD5 do conteúdo de cada tabela, sequências e estrutura; amcheck nos índices da cópia; arquivos DICOM e configurações inventariados antes e depois</t>
  </si>
  <si>
    <t xml:space="preserve">test_recovery_backs_up_and_records_state_before_removing; SQL testado no PostgreSQL local (original = cópia; alteração detectada; amcheck)</t>
  </si>
  <si>
    <t xml:space="preserve">2026-10-29</t>
  </si>
  <si>
    <t xml:space="preserve">Bancos preexistentes protegidos</t>
  </si>
  <si>
    <t xml:space="preserve">Reversão de instalação com falha só remove banco/cluster comprovadamente criado na mesma execução; estado desconhecido nunca é removido</t>
  </si>
  <si>
    <t xml:space="preserve">tests_deploy/test_faults.py (RollbackNeverDropsExistingDatabase, ClusterRollback); CI 2.13 falha na migração (a executar)</t>
  </si>
  <si>
    <t xml:space="preserve">Atualização sobre bc9cf28</t>
  </si>
  <si>
    <t xml:space="preserve">Homologação confere também migrações aplicadas, serviços e 'Verificar funcionamento'</t>
  </si>
  <si>
    <t xml:space="preserve">Em b22bcc4: homologação 0a–15 aprovada (run 40951161126). Verificações ampliadas (migrações/serviços) rodam em ad7434d.</t>
  </si>
  <si>
    <t xml:space="preserve">DICOM Print (testes que dependem de impressora/equipamento)</t>
  </si>
  <si>
    <t xml:space="preserve">Registrados à parte como 'não executado', sem contar como falha do instalador do Medical Platform</t>
  </si>
  <si>
    <t xml:space="preserve">CI 2.8 'Impressão de teste no DICOM Print': não executado (exige equipamento autorizado e impressora)</t>
  </si>
  <si>
    <t xml:space="preserve">Banco volta sozinho após queda forçada (2.10)</t>
  </si>
  <si>
    <t xml:space="preserve">Coletor de log do PostgreSQL desligado (registros no Log de Eventos); antes de iniciar o serviço parado, o DEPLOY encerra postgres.exe órfãos só da pasta do VYONIX; atualização reaplica a configuração</t>
  </si>
  <si>
    <t xml:space="preserve">tests_deploy/test_faults.py::PostgresOrphans; causa no CI 40951093428 (syslogger com pai encerrado)</t>
  </si>
  <si>
    <t xml:space="preserve">Resumo</t>
  </si>
  <si>
    <t xml:space="preserve">Situação</t>
  </si>
  <si>
    <t xml:space="preserve">Proprietário</t>
  </si>
  <si>
    <t xml:space="preserve">Reprovado</t>
  </si>
  <si>
    <t xml:space="preserve">Execuções do CI Windows</t>
  </si>
  <si>
    <t xml:space="preserve">Run</t>
  </si>
  <si>
    <t xml:space="preserve">Versão</t>
  </si>
  <si>
    <t xml:space="preserve">Commit</t>
  </si>
  <si>
    <t xml:space="preserve">Resultado / observação</t>
  </si>
  <si>
    <t xml:space="preserve">Data</t>
  </si>
  <si>
    <t xml:space="preserve">40944999029</t>
  </si>
  <si>
    <t xml:space="preserve">comercial</t>
  </si>
  <si>
    <t xml:space="preserve">78ce54b</t>
  </si>
  <si>
    <t xml:space="preserve">34 aprovados, 6 reprovados, 1 não executado; os 6 vêm do desinstalador encerrar o próprio unins000.exe (corrigido em 4bb8b0f)</t>
  </si>
  <si>
    <t xml:space="preserve">https://github.com/well498/VYONIX-DICOMPRINT/actions/runs/40944999029</t>
  </si>
  <si>
    <t xml:space="preserve">40945047712</t>
  </si>
  <si>
    <t xml:space="preserve">homologação</t>
  </si>
  <si>
    <t xml:space="preserve">28d25ce</t>
  </si>
  <si>
    <t xml:space="preserve">Passos 0a–9 aprovados (inclui atualização sobre bc9cf28); 10–14 sem resultado visível (limite de avisos do GitHub); 15 reprovado (mesma causa)</t>
  </si>
  <si>
    <t xml:space="preserve">https://github.com/well498/VYONIX-DICOMPRINT/actions/runs/40945047712</t>
  </si>
  <si>
    <t xml:space="preserve">40951093428</t>
  </si>
  <si>
    <t xml:space="preserve">b22bcc4</t>
  </si>
  <si>
    <t xml:space="preserve">17 aprovados, 30 reprovados, 1 não executado (DICOM Print: impressora). Causa: no teste de queda do banco (2.10) o processo 'syslogger' do PostgreSQL sobreviveu e impediu o serviço de subir; os demais critérios caíram em cascata. Corrigido em ad7434d (coletor de log desligado + encerramento de órfãos).</t>
  </si>
  <si>
    <t xml:space="preserve">https://github.com/well498/VYONIX-DICOMPRINT/actions/runs/40951093428</t>
  </si>
  <si>
    <t xml:space="preserve">40951161126</t>
  </si>
  <si>
    <t xml:space="preserve">Homologação: passos 0a–15 aprovados — instalação de bc9cf28, atualização por cima com o paciente preservado, módulos, usuários, exame simulado, Central de Exames, Viewer/DICOMweb, laudo e PDF, reparo, desinstalar com o assistente aberto e reinstalar com dados preservados. Instalador SHA-256 ED20ED4A…1953</t>
  </si>
  <si>
    <t xml:space="preserve">https://github.com/well498/VYONIX-DICOMPRINT/actions/runs/40951161126</t>
  </si>
  <si>
    <t xml:space="preserve">40979557950</t>
  </si>
  <si>
    <t xml:space="preserve">ad7434d</t>
  </si>
  <si>
    <t xml:space="preserve">Em execução</t>
  </si>
  <si>
    <t xml:space="preserve">Inclui a correção do banco (2.10), o desinstalador com verificação final e o critério 2.13</t>
  </si>
  <si>
    <t xml:space="preserve">https://github.com/well498/VYONIX-DICOMPRINT/actions/runs/40979557950</t>
  </si>
  <si>
    <t xml:space="preserve">40979622943</t>
  </si>
  <si>
    <t xml:space="preserve">Inclui migrações/serviços/verificação após atualizar sobre bc9cf28 e a espera do fim real da desinstalação</t>
  </si>
  <si>
    <t xml:space="preserve">https://github.com/well498/VYONIX-DICOMPRINT/actions/runs/40979622943</t>
  </si>
  <si>
    <t xml:space="preserve">Próximos passos</t>
  </si>
  <si>
    <t xml:space="preserve">Passo</t>
  </si>
  <si>
    <t xml:space="preserve">Condição</t>
  </si>
  <si>
    <t xml:space="preserve">Feito?</t>
  </si>
  <si>
    <t xml:space="preserve">Relatar cada critério das execuções em ad7434d</t>
  </si>
  <si>
    <t xml:space="preserve">Término de 40979557950 e 40979622943</t>
  </si>
  <si>
    <t xml:space="preserve">Não</t>
  </si>
  <si>
    <t xml:space="preserve">Executar a CI Linux (platform) com as correções de segurança c725108</t>
  </si>
  <si>
    <t xml:space="preserve">Sem cancelar os runs Windows em andamento</t>
  </si>
  <si>
    <t xml:space="preserve">Entregar instalador de homologação e kit (versão, commit, limitações)</t>
  </si>
  <si>
    <t xml:space="preserve">2.10, 2.12, 2.13 e homologação aprovados no mesmo commit</t>
  </si>
  <si>
    <t xml:space="preserve">Validação prática no computador do proprietário (checklist dos 5 pontos)</t>
  </si>
  <si>
    <t xml:space="preserve">Kit entregue; P0 só encerra após esta validação</t>
  </si>
  <si>
    <t xml:space="preserve">Nada foi alterado no computador do proprietário sem autorização.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</si>
</sst>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3D56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CC"/>
      </left>
      <right style="thin">
        <color rgb="FFB7C4CC"/>
      </right>
      <top style="thin">
        <color rgb="FFB7C4CC"/>
      </top>
      <bottom style="thin">
        <color rgb="FFB7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D5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48"/>
    <col collapsed="false" customWidth="true" hidden="false" outlineLevel="0" max="8" min="8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5.05" hidden="false" customHeight="false" outlineLevel="0" collapsed="false">
      <c r="A5" s="4" t="n">
        <v>1</v>
      </c>
      <c r="B5" s="4" t="s">
        <v>10</v>
      </c>
      <c r="C5" s="4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/>
    </row>
    <row r="6" customFormat="false" ht="35.05" hidden="false" customHeight="false" outlineLevel="0" collapsed="false">
      <c r="A6" s="4" t="n">
        <v>2</v>
      </c>
      <c r="B6" s="4" t="s">
        <v>16</v>
      </c>
      <c r="C6" s="4" t="s">
        <v>17</v>
      </c>
      <c r="D6" s="5" t="s">
        <v>12</v>
      </c>
      <c r="E6" s="5" t="s">
        <v>13</v>
      </c>
      <c r="F6" s="5" t="s">
        <v>14</v>
      </c>
      <c r="G6" s="5" t="s">
        <v>18</v>
      </c>
      <c r="H6" s="5"/>
    </row>
    <row r="7" customFormat="false" ht="35.05" hidden="false" customHeight="false" outlineLevel="0" collapsed="false">
      <c r="A7" s="4" t="n">
        <v>3</v>
      </c>
      <c r="B7" s="4" t="s">
        <v>19</v>
      </c>
      <c r="C7" s="4" t="s">
        <v>20</v>
      </c>
      <c r="D7" s="5" t="s">
        <v>12</v>
      </c>
      <c r="E7" s="5" t="s">
        <v>13</v>
      </c>
      <c r="F7" s="5" t="s">
        <v>14</v>
      </c>
      <c r="G7" s="5" t="s">
        <v>21</v>
      </c>
      <c r="H7" s="5"/>
    </row>
    <row r="8" customFormat="false" ht="35.05" hidden="false" customHeight="false" outlineLevel="0" collapsed="false">
      <c r="A8" s="4" t="n">
        <v>4</v>
      </c>
      <c r="B8" s="4" t="s">
        <v>22</v>
      </c>
      <c r="C8" s="4" t="s">
        <v>23</v>
      </c>
      <c r="D8" s="5" t="s">
        <v>13</v>
      </c>
      <c r="E8" s="5" t="s">
        <v>13</v>
      </c>
      <c r="F8" s="5" t="s">
        <v>14</v>
      </c>
      <c r="G8" s="5" t="s">
        <v>24</v>
      </c>
      <c r="H8" s="5"/>
    </row>
    <row r="9" customFormat="false" ht="35.05" hidden="false" customHeight="false" outlineLevel="0" collapsed="false">
      <c r="A9" s="4" t="n">
        <v>5</v>
      </c>
      <c r="B9" s="4" t="s">
        <v>25</v>
      </c>
      <c r="C9" s="4" t="s">
        <v>26</v>
      </c>
      <c r="D9" s="5" t="s">
        <v>12</v>
      </c>
      <c r="E9" s="5" t="s">
        <v>13</v>
      </c>
      <c r="F9" s="5" t="s">
        <v>14</v>
      </c>
      <c r="G9" s="5" t="s">
        <v>27</v>
      </c>
      <c r="H9" s="5" t="s">
        <v>28</v>
      </c>
    </row>
    <row r="10" customFormat="false" ht="35.05" hidden="false" customHeight="false" outlineLevel="0" collapsed="false">
      <c r="A10" s="4" t="n">
        <v>6</v>
      </c>
      <c r="B10" s="4" t="s">
        <v>29</v>
      </c>
      <c r="C10" s="4" t="s">
        <v>30</v>
      </c>
      <c r="D10" s="5" t="s">
        <v>12</v>
      </c>
      <c r="E10" s="5" t="s">
        <v>13</v>
      </c>
      <c r="F10" s="5" t="s">
        <v>14</v>
      </c>
      <c r="G10" s="5" t="s">
        <v>31</v>
      </c>
      <c r="H10" s="5" t="s">
        <v>28</v>
      </c>
    </row>
    <row r="11" customFormat="false" ht="35.05" hidden="false" customHeight="false" outlineLevel="0" collapsed="false">
      <c r="A11" s="4" t="n">
        <v>7</v>
      </c>
      <c r="B11" s="4" t="s">
        <v>32</v>
      </c>
      <c r="C11" s="4" t="s">
        <v>33</v>
      </c>
      <c r="D11" s="5" t="s">
        <v>13</v>
      </c>
      <c r="E11" s="5" t="s">
        <v>13</v>
      </c>
      <c r="F11" s="5" t="s">
        <v>14</v>
      </c>
      <c r="G11" s="5" t="s">
        <v>34</v>
      </c>
      <c r="H11" s="5"/>
    </row>
    <row r="12" customFormat="false" ht="23.85" hidden="false" customHeight="false" outlineLevel="0" collapsed="false">
      <c r="A12" s="4" t="n">
        <v>8</v>
      </c>
      <c r="B12" s="4" t="s">
        <v>35</v>
      </c>
      <c r="C12" s="4" t="s">
        <v>36</v>
      </c>
      <c r="D12" s="5" t="s">
        <v>13</v>
      </c>
      <c r="E12" s="5" t="s">
        <v>13</v>
      </c>
      <c r="F12" s="5" t="s">
        <v>14</v>
      </c>
      <c r="G12" s="5" t="s">
        <v>37</v>
      </c>
      <c r="H12" s="5"/>
    </row>
    <row r="13" customFormat="false" ht="35.05" hidden="false" customHeight="false" outlineLevel="0" collapsed="false">
      <c r="A13" s="4" t="n">
        <v>9</v>
      </c>
      <c r="B13" s="4" t="s">
        <v>38</v>
      </c>
      <c r="C13" s="4" t="s">
        <v>39</v>
      </c>
      <c r="D13" s="5" t="s">
        <v>12</v>
      </c>
      <c r="E13" s="5" t="s">
        <v>13</v>
      </c>
      <c r="F13" s="5" t="s">
        <v>14</v>
      </c>
      <c r="G13" s="5" t="s">
        <v>40</v>
      </c>
      <c r="H13" s="5" t="s">
        <v>28</v>
      </c>
    </row>
    <row r="15" customFormat="false" ht="15" hidden="false" customHeight="false" outlineLevel="0" collapsed="false">
      <c r="B15" s="6" t="s">
        <v>41</v>
      </c>
    </row>
    <row r="16" customFormat="false" ht="15" hidden="false" customHeight="false" outlineLevel="0" collapsed="false">
      <c r="A16" s="3"/>
      <c r="B16" s="3" t="s">
        <v>42</v>
      </c>
      <c r="C16" s="3"/>
      <c r="D16" s="3" t="s">
        <v>5</v>
      </c>
      <c r="E16" s="3" t="s">
        <v>6</v>
      </c>
      <c r="F16" s="3" t="s">
        <v>43</v>
      </c>
    </row>
    <row r="17" customFormat="false" ht="15" hidden="false" customHeight="false" outlineLevel="0" collapsed="false">
      <c r="A17" s="4"/>
      <c r="B17" s="4" t="s">
        <v>12</v>
      </c>
      <c r="C17" s="4"/>
      <c r="D17" s="4" t="n">
        <f aca="false">COUNTIF(D$5:D$13,$B17)</f>
        <v>6</v>
      </c>
      <c r="E17" s="4" t="n">
        <f aca="false">COUNTIF(E$5:E$13,$B17)</f>
        <v>0</v>
      </c>
      <c r="F17" s="4" t="n">
        <f aca="false">COUNTIF(F$5:F$13,$B17)</f>
        <v>0</v>
      </c>
    </row>
    <row r="18" customFormat="false" ht="15" hidden="false" customHeight="false" outlineLevel="0" collapsed="false">
      <c r="A18" s="4"/>
      <c r="B18" s="4" t="s">
        <v>44</v>
      </c>
      <c r="C18" s="4"/>
      <c r="D18" s="4" t="n">
        <f aca="false">COUNTIF(D$5:D$13,$B18)</f>
        <v>0</v>
      </c>
      <c r="E18" s="4" t="n">
        <f aca="false">COUNTIF(E$5:E$13,$B18)</f>
        <v>0</v>
      </c>
      <c r="F18" s="4" t="n">
        <f aca="false">COUNTIF(F$5:F$13,$B18)</f>
        <v>0</v>
      </c>
    </row>
    <row r="19" customFormat="false" ht="15" hidden="false" customHeight="false" outlineLevel="0" collapsed="false">
      <c r="A19" s="4"/>
      <c r="B19" s="4" t="s">
        <v>13</v>
      </c>
      <c r="C19" s="4"/>
      <c r="D19" s="4" t="n">
        <f aca="false">COUNTIF(D$5:D$13,$B19)</f>
        <v>3</v>
      </c>
      <c r="E19" s="4" t="n">
        <f aca="false">COUNTIF(E$5:E$13,$B19)</f>
        <v>9</v>
      </c>
      <c r="F19" s="4" t="n">
        <f aca="false">COUNTIF(F$5:F$13,$B19)</f>
        <v>0</v>
      </c>
    </row>
    <row r="20" customFormat="false" ht="15" hidden="false" customHeight="false" outlineLevel="0" collapsed="false">
      <c r="A20" s="4"/>
      <c r="B20" s="4" t="s">
        <v>14</v>
      </c>
      <c r="C20" s="4"/>
      <c r="D20" s="4" t="n">
        <f aca="false">COUNTIF(D$5:D$13,$B20)</f>
        <v>0</v>
      </c>
      <c r="E20" s="4" t="n">
        <f aca="false">COUNTIF(E$5:E$13,$B20)</f>
        <v>0</v>
      </c>
      <c r="F20" s="4" t="n">
        <f aca="false">COUNTIF(F$5:F$13,$B20)</f>
        <v>9</v>
      </c>
    </row>
  </sheetData>
  <dataValidations count="1">
    <dataValidation allowBlank="true" errorStyle="stop" operator="between" showDropDown="false" showErrorMessage="false" showInputMessage="false" sqref="D5:F13" type="list">
      <formula1>"Aprovado,Reprovado,Não executado,Pendente"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70"/>
    <col collapsed="false" customWidth="true" hidden="false" outlineLevel="0" max="6" min="6" style="0" width="50"/>
    <col collapsed="false" customWidth="true" hidden="false" outlineLevel="0" max="7" min="7" style="0" width="12"/>
  </cols>
  <sheetData>
    <row r="1" customFormat="false" ht="16.15" hidden="false" customHeight="false" outlineLevel="0" collapsed="false">
      <c r="A1" s="1" t="s">
        <v>45</v>
      </c>
    </row>
    <row r="3" customFormat="false" ht="15" hidden="false" customHeight="false" outlineLevel="0" collapsed="false">
      <c r="A3" s="3" t="s">
        <v>46</v>
      </c>
      <c r="B3" s="3" t="s">
        <v>47</v>
      </c>
      <c r="C3" s="3" t="s">
        <v>48</v>
      </c>
      <c r="D3" s="3" t="s">
        <v>42</v>
      </c>
      <c r="E3" s="3" t="s">
        <v>49</v>
      </c>
      <c r="F3" s="3" t="s">
        <v>8</v>
      </c>
      <c r="G3" s="3" t="s">
        <v>50</v>
      </c>
    </row>
    <row r="4" customFormat="false" ht="23.85" hidden="false" customHeight="false" outlineLevel="0" collapsed="false">
      <c r="A4" s="4" t="s">
        <v>51</v>
      </c>
      <c r="B4" s="4" t="s">
        <v>52</v>
      </c>
      <c r="C4" s="4" t="s">
        <v>53</v>
      </c>
      <c r="D4" s="5" t="s">
        <v>44</v>
      </c>
      <c r="E4" s="5" t="s">
        <v>54</v>
      </c>
      <c r="F4" s="5" t="s">
        <v>55</v>
      </c>
      <c r="G4" s="5" t="s">
        <v>28</v>
      </c>
    </row>
    <row r="5" customFormat="false" ht="23.85" hidden="false" customHeight="false" outlineLevel="0" collapsed="false">
      <c r="A5" s="4" t="s">
        <v>56</v>
      </c>
      <c r="B5" s="4" t="s">
        <v>57</v>
      </c>
      <c r="C5" s="4" t="s">
        <v>58</v>
      </c>
      <c r="D5" s="5" t="s">
        <v>44</v>
      </c>
      <c r="E5" s="5" t="s">
        <v>59</v>
      </c>
      <c r="F5" s="5" t="s">
        <v>60</v>
      </c>
      <c r="G5" s="5" t="s">
        <v>28</v>
      </c>
    </row>
    <row r="6" customFormat="false" ht="46.25" hidden="false" customHeight="false" outlineLevel="0" collapsed="false">
      <c r="A6" s="4" t="s">
        <v>61</v>
      </c>
      <c r="B6" s="4" t="s">
        <v>52</v>
      </c>
      <c r="C6" s="4" t="s">
        <v>62</v>
      </c>
      <c r="D6" s="5" t="s">
        <v>44</v>
      </c>
      <c r="E6" s="5" t="s">
        <v>63</v>
      </c>
      <c r="F6" s="5" t="s">
        <v>64</v>
      </c>
      <c r="G6" s="5" t="s">
        <v>28</v>
      </c>
    </row>
    <row r="7" customFormat="false" ht="46.25" hidden="false" customHeight="false" outlineLevel="0" collapsed="false">
      <c r="A7" s="4" t="s">
        <v>65</v>
      </c>
      <c r="B7" s="4" t="s">
        <v>57</v>
      </c>
      <c r="C7" s="4" t="s">
        <v>62</v>
      </c>
      <c r="D7" s="5" t="s">
        <v>12</v>
      </c>
      <c r="E7" s="5" t="s">
        <v>66</v>
      </c>
      <c r="F7" s="5" t="s">
        <v>67</v>
      </c>
      <c r="G7" s="5" t="s">
        <v>28</v>
      </c>
    </row>
    <row r="8" customFormat="false" ht="23.85" hidden="false" customHeight="false" outlineLevel="0" collapsed="false">
      <c r="A8" s="4" t="s">
        <v>68</v>
      </c>
      <c r="B8" s="4" t="s">
        <v>52</v>
      </c>
      <c r="C8" s="4" t="s">
        <v>69</v>
      </c>
      <c r="D8" s="5" t="s">
        <v>70</v>
      </c>
      <c r="E8" s="5" t="s">
        <v>71</v>
      </c>
      <c r="F8" s="5" t="s">
        <v>72</v>
      </c>
      <c r="G8" s="5"/>
    </row>
    <row r="9" customFormat="false" ht="23.85" hidden="false" customHeight="false" outlineLevel="0" collapsed="false">
      <c r="A9" s="4" t="s">
        <v>73</v>
      </c>
      <c r="B9" s="4" t="s">
        <v>57</v>
      </c>
      <c r="C9" s="4" t="s">
        <v>69</v>
      </c>
      <c r="D9" s="5" t="s">
        <v>70</v>
      </c>
      <c r="E9" s="5" t="s">
        <v>74</v>
      </c>
      <c r="F9" s="5" t="s">
        <v>75</v>
      </c>
      <c r="G9" s="5"/>
    </row>
  </sheetData>
  <dataValidations count="1">
    <dataValidation allowBlank="false" errorStyle="stop" operator="between" showDropDown="false" showErrorMessage="false" showInputMessage="false" sqref="D4:D60" type="list">
      <formula1>"Aprovado,Reprovado,Em execução,Pendente"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50"/>
    <col collapsed="false" customWidth="true" hidden="false" outlineLevel="0" max="4" min="4" style="0" width="10"/>
  </cols>
  <sheetData>
    <row r="1" customFormat="false" ht="16.15" hidden="false" customHeight="false" outlineLevel="0" collapsed="false">
      <c r="A1" s="1" t="s">
        <v>76</v>
      </c>
    </row>
    <row r="3" customFormat="false" ht="15" hidden="false" customHeight="false" outlineLevel="0" collapsed="false">
      <c r="A3" s="3" t="s">
        <v>2</v>
      </c>
      <c r="B3" s="3" t="s">
        <v>77</v>
      </c>
      <c r="C3" s="3" t="s">
        <v>78</v>
      </c>
      <c r="D3" s="3" t="s">
        <v>79</v>
      </c>
    </row>
    <row r="4" customFormat="false" ht="15" hidden="false" customHeight="false" outlineLevel="0" collapsed="false">
      <c r="A4" s="4" t="n">
        <v>1</v>
      </c>
      <c r="B4" s="4" t="s">
        <v>80</v>
      </c>
      <c r="C4" s="4" t="s">
        <v>81</v>
      </c>
      <c r="D4" s="5" t="s">
        <v>82</v>
      </c>
    </row>
    <row r="5" customFormat="false" ht="15" hidden="false" customHeight="false" outlineLevel="0" collapsed="false">
      <c r="A5" s="4" t="n">
        <v>2</v>
      </c>
      <c r="B5" s="4" t="s">
        <v>83</v>
      </c>
      <c r="C5" s="4" t="s">
        <v>84</v>
      </c>
      <c r="D5" s="5" t="s">
        <v>82</v>
      </c>
    </row>
    <row r="6" customFormat="false" ht="23.85" hidden="false" customHeight="false" outlineLevel="0" collapsed="false">
      <c r="A6" s="4" t="n">
        <v>3</v>
      </c>
      <c r="B6" s="4" t="s">
        <v>85</v>
      </c>
      <c r="C6" s="4" t="s">
        <v>86</v>
      </c>
      <c r="D6" s="5" t="s">
        <v>82</v>
      </c>
    </row>
    <row r="7" customFormat="false" ht="15" hidden="false" customHeight="false" outlineLevel="0" collapsed="false">
      <c r="A7" s="4" t="n">
        <v>4</v>
      </c>
      <c r="B7" s="4" t="s">
        <v>87</v>
      </c>
      <c r="C7" s="4" t="s">
        <v>88</v>
      </c>
      <c r="D7" s="5" t="s">
        <v>82</v>
      </c>
    </row>
    <row r="9" customFormat="false" ht="15" hidden="false" customHeight="false" outlineLevel="0" collapsed="false">
      <c r="B9" s="2" t="s">
        <v>89</v>
      </c>
    </row>
  </sheetData>
  <dataValidations count="1">
    <dataValidation allowBlank="false" errorStyle="stop" operator="between" showDropDown="false" showErrorMessage="false" showInputMessage="false" sqref="D4:D6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2026-10-30T00:40:14Z</dcterms:created>
  <dc:creator>openpyxl</dc:creator>
  <dc:description/>
  <dc:language>en-US</dc:language>
  <cp:lastModifiedBy/>
  <dcterms:modified xsi:type="dcterms:W3CDTF">2026-10-30T00:40:14Z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